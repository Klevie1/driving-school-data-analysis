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esktop\"/>
    </mc:Choice>
  </mc:AlternateContent>
  <bookViews>
    <workbookView xWindow="0" yWindow="0" windowWidth="20490" windowHeight="7530" activeTab="2"/>
  </bookViews>
  <sheets>
    <sheet name="Raw_Data" sheetId="1" r:id="rId1"/>
    <sheet name="Dashboard_Data" sheetId="2" r:id="rId2"/>
    <sheet name="Dashboard" sheetId="3" r:id="rId3"/>
  </sheets>
  <definedNames>
    <definedName name="Slicer_MONTHS">#N/A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 i="1" l="1"/>
  <c r="K3" i="1"/>
  <c r="K4" i="1"/>
  <c r="K5" i="1"/>
  <c r="K6" i="1"/>
  <c r="K7" i="1"/>
  <c r="K8" i="1"/>
  <c r="K9" i="1"/>
  <c r="K10" i="1"/>
  <c r="K11" i="1"/>
  <c r="K12" i="1"/>
  <c r="K13" i="1"/>
  <c r="J4" i="1"/>
  <c r="J3" i="1"/>
  <c r="J5" i="1"/>
  <c r="J6" i="1"/>
  <c r="J7" i="1"/>
  <c r="J8" i="1"/>
  <c r="J9" i="1"/>
  <c r="J10" i="1"/>
  <c r="J11" i="1"/>
  <c r="J12" i="1"/>
  <c r="J13" i="1"/>
  <c r="B9" i="2"/>
  <c r="B11" i="2"/>
  <c r="D14" i="1"/>
  <c r="G14" i="1"/>
  <c r="F14" i="1"/>
  <c r="E14" i="1"/>
  <c r="B2" i="2"/>
  <c r="AA3" i="3" s="1"/>
  <c r="A2" i="2"/>
  <c r="AA2" i="3" s="1"/>
  <c r="H4" i="1"/>
  <c r="I4" i="1" s="1"/>
  <c r="L4" i="1" s="1"/>
  <c r="H5" i="1"/>
  <c r="I5" i="1" s="1"/>
  <c r="L5" i="1" s="1"/>
  <c r="H6" i="1"/>
  <c r="I6" i="1" s="1"/>
  <c r="L6" i="1" s="1"/>
  <c r="H7" i="1"/>
  <c r="I7" i="1" s="1"/>
  <c r="L7" i="1" s="1"/>
  <c r="H8" i="1"/>
  <c r="I8" i="1" s="1"/>
  <c r="L8" i="1" s="1"/>
  <c r="H9" i="1"/>
  <c r="I9" i="1" s="1"/>
  <c r="L9" i="1" s="1"/>
  <c r="H10" i="1"/>
  <c r="I10" i="1" s="1"/>
  <c r="L10" i="1" s="1"/>
  <c r="H11" i="1"/>
  <c r="I11" i="1" s="1"/>
  <c r="L11" i="1" s="1"/>
  <c r="H12" i="1"/>
  <c r="I12" i="1" s="1"/>
  <c r="L12" i="1" s="1"/>
  <c r="H13" i="1"/>
  <c r="I13" i="1" s="1"/>
  <c r="L13" i="1" s="1"/>
  <c r="H3" i="1"/>
  <c r="I3" i="1" s="1"/>
  <c r="L3" i="1" s="1"/>
  <c r="H2" i="1"/>
  <c r="M2" i="1" s="1"/>
  <c r="M12" i="1" l="1"/>
  <c r="M8" i="1"/>
  <c r="M4" i="1"/>
  <c r="M11" i="1"/>
  <c r="M3" i="1"/>
  <c r="M10" i="1"/>
  <c r="M6" i="1"/>
  <c r="M7" i="1"/>
  <c r="M13" i="1"/>
  <c r="M9" i="1"/>
  <c r="M5" i="1"/>
  <c r="C2" i="2"/>
  <c r="I2" i="1"/>
  <c r="L2" i="1" s="1"/>
  <c r="H14" i="1"/>
  <c r="I14" i="1" l="1"/>
  <c r="D2" i="2"/>
  <c r="AA4" i="3" s="1"/>
  <c r="AA5" i="3" s="1"/>
</calcChain>
</file>

<file path=xl/sharedStrings.xml><?xml version="1.0" encoding="utf-8"?>
<sst xmlns="http://schemas.openxmlformats.org/spreadsheetml/2006/main" count="51" uniqueCount="50">
  <si>
    <t>DATE</t>
  </si>
  <si>
    <t>MONTHS</t>
  </si>
  <si>
    <t>STUDENTS_REGISTERD</t>
  </si>
  <si>
    <t>REVENUE</t>
  </si>
  <si>
    <t>FUEL_EXPENSES</t>
  </si>
  <si>
    <t>OTHER_EXPENSES</t>
  </si>
  <si>
    <t>DEBTORS</t>
  </si>
  <si>
    <t>31/1/25</t>
  </si>
  <si>
    <t>JAN</t>
  </si>
  <si>
    <t>28/2/25</t>
  </si>
  <si>
    <t>FEB</t>
  </si>
  <si>
    <t>31/3/25</t>
  </si>
  <si>
    <t>MAR</t>
  </si>
  <si>
    <t>30/4/25</t>
  </si>
  <si>
    <t>APR</t>
  </si>
  <si>
    <t>30/5/25</t>
  </si>
  <si>
    <t>MAY</t>
  </si>
  <si>
    <t>30/6/25</t>
  </si>
  <si>
    <t>JUN</t>
  </si>
  <si>
    <t>31/7/25</t>
  </si>
  <si>
    <t>JUL</t>
  </si>
  <si>
    <t>30/8/25</t>
  </si>
  <si>
    <t>AUG</t>
  </si>
  <si>
    <t>30/9/25</t>
  </si>
  <si>
    <t>SEP</t>
  </si>
  <si>
    <t>31/10/25</t>
  </si>
  <si>
    <t>OCT</t>
  </si>
  <si>
    <t>30/11/25</t>
  </si>
  <si>
    <t>NOV</t>
  </si>
  <si>
    <t>31/12/25</t>
  </si>
  <si>
    <t>DEC</t>
  </si>
  <si>
    <t>PROFIT</t>
  </si>
  <si>
    <t>TOTAL_EXPENSES</t>
  </si>
  <si>
    <t>TOTAL_REVENUE</t>
  </si>
  <si>
    <t>TOTAL_STUDENTS</t>
  </si>
  <si>
    <t>TOTAL_PROFIT</t>
  </si>
  <si>
    <t>Expenses Type</t>
  </si>
  <si>
    <t>Amount</t>
  </si>
  <si>
    <t>Fuel</t>
  </si>
  <si>
    <t>Other</t>
  </si>
  <si>
    <t>METRICS</t>
  </si>
  <si>
    <t>VALUES</t>
  </si>
  <si>
    <t>Total Revenue</t>
  </si>
  <si>
    <t>Total Students</t>
  </si>
  <si>
    <t>Total Profits</t>
  </si>
  <si>
    <t>GROWTH_RATE</t>
  </si>
  <si>
    <t xml:space="preserve">REVENUE PER STUDENT </t>
  </si>
  <si>
    <t>PROFIT MARGIN</t>
  </si>
  <si>
    <t>EXPENSE RATIO</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</si>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</sst>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_([$GHS]\ * #,##0.00_);_([$GHS]\ * \(#,##0.00\);_([$GHS]\ *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rgb="FFFF0000"/>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FF9966"/>
        <bgColor indexed="64"/>
      </patternFill>
    </fill>
    <fill>
      <patternFill patternType="solid">
        <fgColor rgb="FF92D05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8">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14" fontId="0" fillId="0" borderId="0" xfId="0" applyNumberFormat="1" applyFont="1" applyAlignment="1">
      <alignment horizontal="center" vertical="center"/>
    </xf>
    <xf numFmtId="14" fontId="0" fillId="0" borderId="0" xfId="0" applyNumberFormat="1"/>
    <xf numFmtId="164" fontId="2" fillId="0" borderId="0" xfId="0" applyNumberFormat="1" applyFont="1" applyAlignment="1">
      <alignment horizontal="center" vertical="center"/>
    </xf>
    <xf numFmtId="164" fontId="0" fillId="0" borderId="0" xfId="0" applyNumberFormat="1" applyAlignment="1">
      <alignment horizontal="center" vertical="center"/>
    </xf>
    <xf numFmtId="164" fontId="0" fillId="0" borderId="0" xfId="0" applyNumberFormat="1"/>
    <xf numFmtId="164" fontId="2" fillId="0" borderId="0" xfId="1" applyNumberFormat="1" applyFont="1" applyAlignment="1">
      <alignment horizontal="center" vertical="center"/>
    </xf>
    <xf numFmtId="164" fontId="0" fillId="0" borderId="0" xfId="1" applyNumberFormat="1" applyFont="1"/>
    <xf numFmtId="164" fontId="0" fillId="2" borderId="0" xfId="0" applyNumberFormat="1" applyFill="1" applyAlignment="1">
      <alignment horizontal="center" vertical="center"/>
    </xf>
    <xf numFmtId="164" fontId="0" fillId="4" borderId="0" xfId="0" applyNumberFormat="1" applyFill="1" applyAlignment="1">
      <alignment horizontal="center" vertical="center"/>
    </xf>
    <xf numFmtId="164" fontId="0" fillId="6" borderId="0" xfId="1" applyNumberFormat="1" applyFont="1" applyFill="1" applyAlignment="1">
      <alignment horizontal="center" vertical="center"/>
    </xf>
    <xf numFmtId="164" fontId="2" fillId="5" borderId="0" xfId="0" applyNumberFormat="1" applyFont="1" applyFill="1"/>
    <xf numFmtId="164" fontId="2" fillId="7" borderId="0" xfId="0" applyNumberFormat="1" applyFont="1" applyFill="1"/>
    <xf numFmtId="164" fontId="2" fillId="2" borderId="0" xfId="0" applyNumberFormat="1" applyFont="1" applyFill="1"/>
    <xf numFmtId="164" fontId="2" fillId="3" borderId="0" xfId="0" applyNumberFormat="1" applyFont="1" applyFill="1"/>
    <xf numFmtId="0" fontId="3" fillId="0" borderId="1" xfId="0" applyFont="1" applyBorder="1" applyAlignment="1">
      <alignment horizontal="center" vertical="center"/>
    </xf>
    <xf numFmtId="10" fontId="0" fillId="0" borderId="0" xfId="0" applyNumberFormat="1" applyAlignment="1">
      <alignment horizontal="center" vertical="center"/>
    </xf>
    <xf numFmtId="10" fontId="2" fillId="0" borderId="0" xfId="0" applyNumberFormat="1" applyFont="1" applyAlignment="1">
      <alignment horizontal="center" vertical="center"/>
    </xf>
    <xf numFmtId="10" fontId="0" fillId="0" borderId="0" xfId="0" applyNumberFormat="1"/>
    <xf numFmtId="164" fontId="3" fillId="2" borderId="1" xfId="0" applyNumberFormat="1" applyFont="1" applyFill="1" applyBorder="1" applyAlignment="1">
      <alignment horizontal="center" vertical="center"/>
    </xf>
    <xf numFmtId="164" fontId="3" fillId="8" borderId="1" xfId="0" applyNumberFormat="1" applyFont="1" applyFill="1" applyBorder="1" applyAlignment="1">
      <alignment horizontal="center" vertical="center"/>
    </xf>
    <xf numFmtId="0" fontId="3" fillId="9" borderId="1" xfId="0" applyFont="1" applyFill="1" applyBorder="1" applyAlignment="1">
      <alignment horizontal="center" vertical="center"/>
    </xf>
    <xf numFmtId="9" fontId="2" fillId="0" borderId="0" xfId="2" applyFont="1" applyAlignment="1">
      <alignment horizontal="center" vertical="center"/>
    </xf>
    <xf numFmtId="9" fontId="0" fillId="0" borderId="0" xfId="2" applyFont="1" applyAlignment="1">
      <alignment horizontal="center" vertical="center"/>
    </xf>
    <xf numFmtId="9" fontId="0" fillId="0" borderId="0" xfId="2" applyFont="1"/>
  </cellXfs>
  <cellStyles count="3">
    <cellStyle name="Currency" xfId="1" builtinId="4"/>
    <cellStyle name="Normal" xfId="0" builtinId="0"/>
    <cellStyle name="Percent" xfId="2" builtinId="5"/>
  </cellStyles>
  <dxfs count="16">
    <dxf>
      <numFmt numFmtId="0" formatCode="General"/>
      <alignment horizontal="center" vertical="center" textRotation="0" wrapText="0" indent="0" justifyLastLine="0" shrinkToFit="0" readingOrder="0"/>
    </dxf>
    <dxf>
      <numFmt numFmtId="164" formatCode="_([$GHS]\ * #,##0.00_);_([$GHS]\ * \(#,##0.00\);_([$GHS]\ * &quot;-&quot;??_);_(@_)"/>
      <alignment horizontal="center" vertical="center" textRotation="0" wrapText="0" indent="0" justifyLastLine="0" shrinkToFit="0" readingOrder="0"/>
    </dxf>
    <dxf>
      <numFmt numFmtId="164" formatCode="_([$GHS]\ * #,##0.00_);_([$GHS]\ * \(#,##0.00\);_([$GHS]\ * &quot;-&quot;??_);_(@_)"/>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_([$GHS]\ * #,##0.00_);_([$GHS]\ * \(#,##0.00\);_([$GHS]\ * &quot;-&quot;??_);_(@_)"/>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64" formatCode="_([$GHS]\ * #,##0.00_);_([$GHS]\ * \(#,##0.00\);_([$GHS]\ * &quot;-&quot;??_);_(@_)"/>
      <alignment horizontal="center" vertical="center" textRotation="0" wrapText="0" indent="0" justifyLastLine="0" shrinkToFit="0" readingOrder="0"/>
    </dxf>
    <dxf>
      <numFmt numFmtId="164" formatCode="_([$GHS]\ * #,##0.00_);_([$GHS]\ * \(#,##0.00\);_([$GHS]\ * &quot;-&quot;??_);_(@_)"/>
      <alignment horizontal="center" vertical="center" textRotation="0" wrapText="0" indent="0" justifyLastLine="0" shrinkToFit="0" readingOrder="0"/>
    </dxf>
    <dxf>
      <numFmt numFmtId="164" formatCode="_([$GHS]\ * #,##0.00_);_([$GHS]\ * \(#,##0.00\);_([$GHS]\ * &quot;-&quot;??_);_(@_)"/>
      <alignment horizontal="center" vertical="center" textRotation="0" wrapText="0" indent="0" justifyLastLine="0" shrinkToFit="0" readingOrder="0"/>
    </dxf>
    <dxf>
      <numFmt numFmtId="164" formatCode="_([$GHS]\ * #,##0.00_);_([$GHS]\ * \(#,##0.00\);_([$GHS]\ * &quot;-&quot;??_);_(@_)"/>
      <alignment horizontal="center" vertical="center" textRotation="0" wrapText="0" indent="0" justifyLastLine="0" shrinkToFit="0" readingOrder="0"/>
    </dxf>
    <dxf>
      <numFmt numFmtId="164" formatCode="_([$GHS]\ * #,##0.00_);_([$GHS]\ * \(#,##0.00\);_([$GHS]\ * &quot;-&quot;??_);_(@_)"/>
      <alignment horizontal="center" vertical="center" textRotation="0" wrapText="0" indent="0" justifyLastLine="0" shrinkToFit="0" readingOrder="0"/>
    </dxf>
    <dxf>
      <numFmt numFmtId="164" formatCode="_([$GHS]\ * #,##0.00_);_([$GHS]\ * \(#,##0.00\);_([$GHS]\ * &quot;-&quot;??_);_(@_)"/>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scheme val="minor"/>
      </font>
      <numFmt numFmtId="164" formatCode="_([$GHS]\ * #,##0.00_);_([$GHS]\ * \(#,##0.00\);_([$GHS]\ * &quot;-&quot;??_);_(@_)"/>
      <alignment horizontal="center" vertical="center" textRotation="0" wrapText="0" indent="0" justifyLastLine="0" shrinkToFit="0" readingOrder="0"/>
    </dxf>
  </dxfs>
  <tableStyles count="0" defaultTableStyle="TableStyleMedium2" defaultPivotStyle="PivotStyleLight16"/>
  <colors>
    <mruColors>
      <color rgb="FF252FF3"/>
      <color rgb="FFE65050"/>
      <color rgb="FF000000"/>
      <color rgb="FFFF4F4F"/>
      <color rgb="FFFF4343"/>
      <color rgb="FFFF0000"/>
      <color rgb="FFFF6600"/>
      <color rgb="FFFF9966"/>
      <color rgb="FFFF15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TREND</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Raw_Data!$D$1</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Raw_Data!$B$2:$B$13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Raw_Data!$D$2:$D$13</c:f>
              <c:numCache>
                <c:formatCode>_([$GHS]\ * #,##0.00_);_([$GHS]\ * \(#,##0.00\);_([$GHS]\ * "-"??_);_(@_)</c:formatCode>
                <c:ptCount val="12"/>
                <c:pt idx="0">
                  <c:v>43500</c:v>
                </c:pt>
                <c:pt idx="1">
                  <c:v>49900</c:v>
                </c:pt>
                <c:pt idx="2">
                  <c:v>28900</c:v>
                </c:pt>
                <c:pt idx="3">
                  <c:v>44900</c:v>
                </c:pt>
                <c:pt idx="4">
                  <c:v>54700</c:v>
                </c:pt>
                <c:pt idx="5">
                  <c:v>42900</c:v>
                </c:pt>
                <c:pt idx="6">
                  <c:v>36700</c:v>
                </c:pt>
                <c:pt idx="7">
                  <c:v>40400</c:v>
                </c:pt>
                <c:pt idx="8">
                  <c:v>56800</c:v>
                </c:pt>
                <c:pt idx="9">
                  <c:v>83600</c:v>
                </c:pt>
                <c:pt idx="10">
                  <c:v>62200</c:v>
                </c:pt>
                <c:pt idx="11">
                  <c:v>26200</c:v>
                </c:pt>
              </c:numCache>
            </c:numRef>
          </c:val>
          <c:smooth val="0"/>
          <c:extLst>
            <c:ext xmlns:c16="http://schemas.microsoft.com/office/drawing/2014/chart" uri="{C3380CC4-5D6E-409C-BE32-E72D297353CC}">
              <c16:uniqueId val="{00000000-248D-4AB9-BD9E-1B16E2A80130}"/>
            </c:ext>
          </c:extLst>
        </c:ser>
        <c:dLbls>
          <c:showLegendKey val="0"/>
          <c:showVal val="0"/>
          <c:showCatName val="0"/>
          <c:showSerName val="0"/>
          <c:showPercent val="0"/>
          <c:showBubbleSize val="0"/>
        </c:dLbls>
        <c:marker val="1"/>
        <c:smooth val="0"/>
        <c:axId val="1132012640"/>
        <c:axId val="1071754608"/>
      </c:lineChart>
      <c:catAx>
        <c:axId val="113201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754608"/>
        <c:crosses val="autoZero"/>
        <c:auto val="1"/>
        <c:lblAlgn val="ctr"/>
        <c:lblOffset val="100"/>
        <c:noMultiLvlLbl val="0"/>
      </c:catAx>
      <c:valAx>
        <c:axId val="1071754608"/>
        <c:scaling>
          <c:orientation val="minMax"/>
        </c:scaling>
        <c:delete val="0"/>
        <c:axPos val="l"/>
        <c:majorGridlines>
          <c:spPr>
            <a:ln w="9525" cap="flat" cmpd="sng" algn="ctr">
              <a:solidFill>
                <a:schemeClr val="tx1">
                  <a:lumMod val="15000"/>
                  <a:lumOff val="85000"/>
                </a:schemeClr>
              </a:solidFill>
              <a:round/>
            </a:ln>
            <a:effectLst/>
          </c:spPr>
        </c:majorGridlines>
        <c:numFmt formatCode="_([$GHS]\ * #,##0.00_);_([$GHS]\ * \(#,##0.00\);_([$GHS]\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012640"/>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72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50800" dir="5400000" algn="ctr" rotWithShape="0">
        <a:schemeClr val="accent1">
          <a:lumMod val="20000"/>
          <a:lumOff val="80000"/>
        </a:schemeClr>
      </a:outerShdw>
    </a:effectLst>
    <a:scene3d>
      <a:camera prst="orthographicFront"/>
      <a:lightRig rig="threePt" dir="t"/>
    </a:scene3d>
    <a:sp3d>
      <a:bevelT w="152400" h="44450"/>
    </a:sp3d>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STUDENTS</a:t>
            </a:r>
            <a:r>
              <a:rPr lang="en-US" b="1" baseline="0"/>
              <a:t> </a:t>
            </a:r>
            <a:r>
              <a:rPr lang="en-US" b="1"/>
              <a:t>REGISTERD</a:t>
            </a:r>
            <a:r>
              <a:rPr lang="en-US" b="1" baseline="0"/>
              <a:t> MONTHLY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Raw_Data!$C$1</c:f>
              <c:strCache>
                <c:ptCount val="1"/>
                <c:pt idx="0">
                  <c:v>STUDENTS_REGISTERD</c:v>
                </c:pt>
              </c:strCache>
            </c:strRef>
          </c:tx>
          <c:spPr>
            <a:solidFill>
              <a:schemeClr val="accent1"/>
            </a:solidFill>
            <a:ln>
              <a:noFill/>
            </a:ln>
            <a:effectLst/>
          </c:spPr>
          <c:invertIfNegative val="0"/>
          <c:cat>
            <c:strRef>
              <c:f>Raw_Data!$B$2:$B$13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Raw_Data!$C$2:$C$13</c:f>
              <c:numCache>
                <c:formatCode>General</c:formatCode>
                <c:ptCount val="12"/>
                <c:pt idx="0">
                  <c:v>17</c:v>
                </c:pt>
                <c:pt idx="1">
                  <c:v>20</c:v>
                </c:pt>
                <c:pt idx="2">
                  <c:v>10</c:v>
                </c:pt>
                <c:pt idx="3">
                  <c:v>17</c:v>
                </c:pt>
                <c:pt idx="4">
                  <c:v>21</c:v>
                </c:pt>
                <c:pt idx="5">
                  <c:v>18</c:v>
                </c:pt>
                <c:pt idx="6">
                  <c:v>13</c:v>
                </c:pt>
                <c:pt idx="7">
                  <c:v>19</c:v>
                </c:pt>
                <c:pt idx="8">
                  <c:v>25</c:v>
                </c:pt>
                <c:pt idx="9">
                  <c:v>27</c:v>
                </c:pt>
                <c:pt idx="10">
                  <c:v>19</c:v>
                </c:pt>
                <c:pt idx="11">
                  <c:v>7</c:v>
                </c:pt>
              </c:numCache>
            </c:numRef>
          </c:val>
          <c:extLst>
            <c:ext xmlns:c16="http://schemas.microsoft.com/office/drawing/2014/chart" uri="{C3380CC4-5D6E-409C-BE32-E72D297353CC}">
              <c16:uniqueId val="{00000000-B9A4-489F-8E47-D5B7ACD95402}"/>
            </c:ext>
          </c:extLst>
        </c:ser>
        <c:dLbls>
          <c:showLegendKey val="0"/>
          <c:showVal val="0"/>
          <c:showCatName val="0"/>
          <c:showSerName val="0"/>
          <c:showPercent val="0"/>
          <c:showBubbleSize val="0"/>
        </c:dLbls>
        <c:gapWidth val="219"/>
        <c:overlap val="-27"/>
        <c:axId val="1195057280"/>
        <c:axId val="1195066016"/>
      </c:barChart>
      <c:catAx>
        <c:axId val="119505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066016"/>
        <c:crosses val="autoZero"/>
        <c:auto val="1"/>
        <c:lblAlgn val="ctr"/>
        <c:lblOffset val="100"/>
        <c:noMultiLvlLbl val="0"/>
      </c:catAx>
      <c:valAx>
        <c:axId val="119506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057280"/>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72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bg1">
          <a:lumMod val="95000"/>
        </a:schemeClr>
      </a:solidFill>
      <a:round/>
    </a:ln>
    <a:effectLst/>
    <a:scene3d>
      <a:camera prst="orthographicFront"/>
      <a:lightRig rig="threePt" dir="t"/>
    </a:scene3d>
    <a:sp3d>
      <a:bevelT w="152400" h="38100"/>
    </a:sp3d>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EXPENSES BREAKDOWN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rgbClr val="FF0000"/>
              </a:solidFill>
              <a:ln w="57150" cmpd="sng">
                <a:noFill/>
              </a:ln>
              <a:effectLst/>
            </c:spPr>
            <c:extLst>
              <c:ext xmlns:c16="http://schemas.microsoft.com/office/drawing/2014/chart" uri="{C3380CC4-5D6E-409C-BE32-E72D297353CC}">
                <c16:uniqueId val="{00000001-5E0D-450A-9EDF-F34C9C4D2D7D}"/>
              </c:ext>
            </c:extLst>
          </c:dPt>
          <c:dPt>
            <c:idx val="1"/>
            <c:bubble3D val="0"/>
            <c:spPr>
              <a:solidFill>
                <a:srgbClr val="252FF3"/>
              </a:solidFill>
              <a:ln w="0" cap="flat" cmpd="sng">
                <a:solidFill>
                  <a:srgbClr val="92D050"/>
                </a:solidFill>
              </a:ln>
              <a:effectLst/>
            </c:spPr>
            <c:extLst>
              <c:ext xmlns:c16="http://schemas.microsoft.com/office/drawing/2014/chart" uri="{C3380CC4-5D6E-409C-BE32-E72D297353CC}">
                <c16:uniqueId val="{00000005-5E0D-450A-9EDF-F34C9C4D2D7D}"/>
              </c:ext>
            </c:extLst>
          </c:dPt>
          <c:dLbls>
            <c:dLbl>
              <c:idx val="0"/>
              <c:layout>
                <c:manualLayout>
                  <c:x val="-0.39118750048128381"/>
                  <c:y val="-0.28731762065095401"/>
                </c:manualLayout>
              </c:layout>
              <c:spPr>
                <a:solidFill>
                  <a:schemeClr val="lt1"/>
                </a:solid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40125"/>
                        <a:gd name="adj2" fmla="val 53148"/>
                      </a:avLst>
                    </a:prstGeom>
                    <a:noFill/>
                    <a:ln>
                      <a:noFill/>
                    </a:ln>
                  </c15:spPr>
                  <c15:layout/>
                </c:ext>
                <c:ext xmlns:c16="http://schemas.microsoft.com/office/drawing/2014/chart" uri="{C3380CC4-5D6E-409C-BE32-E72D297353CC}">
                  <c16:uniqueId val="{00000001-5E0D-450A-9EDF-F34C9C4D2D7D}"/>
                </c:ext>
              </c:extLst>
            </c:dLbl>
            <c:dLbl>
              <c:idx val="1"/>
              <c:layout>
                <c:manualLayout>
                  <c:x val="-0.36790253021454072"/>
                  <c:y val="0.29180695847362514"/>
                </c:manualLayout>
              </c:layout>
              <c:spPr>
                <a:solidFill>
                  <a:sysClr val="window" lastClr="FFFFFF"/>
                </a:solid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 xmlns:c16="http://schemas.microsoft.com/office/drawing/2014/chart" uri="{C3380CC4-5D6E-409C-BE32-E72D297353CC}">
                  <c16:uniqueId val="{00000005-5E0D-450A-9EDF-F34C9C4D2D7D}"/>
                </c:ext>
              </c:extLst>
            </c:dLbl>
            <c:spPr>
              <a:noFill/>
              <a:ln w="317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c:ext xmlns:c15="http://schemas.microsoft.com/office/drawing/2012/chart" uri="{02D57815-91ED-43cb-92C2-25804820EDAC}">
                  <c15:fullRef>
                    <c15:sqref>Dashboard_Data!$A$9:$A$11</c15:sqref>
                  </c15:fullRef>
                </c:ext>
              </c:extLst>
              <c:f>(Dashboard_Data!$A$9,Dashboard_Data!$A$11)</c:f>
              <c:strCache>
                <c:ptCount val="2"/>
                <c:pt idx="0">
                  <c:v>Fuel</c:v>
                </c:pt>
                <c:pt idx="1">
                  <c:v>Other</c:v>
                </c:pt>
              </c:strCache>
            </c:strRef>
          </c:cat>
          <c:val>
            <c:numRef>
              <c:extLst>
                <c:ext xmlns:c15="http://schemas.microsoft.com/office/drawing/2012/chart" uri="{02D57815-91ED-43cb-92C2-25804820EDAC}">
                  <c15:fullRef>
                    <c15:sqref>Dashboard_Data!$B$9:$B$11</c15:sqref>
                  </c15:fullRef>
                </c:ext>
              </c:extLst>
              <c:f>(Dashboard_Data!$B$9,Dashboard_Data!$B$11)</c:f>
              <c:numCache>
                <c:formatCode>General</c:formatCode>
                <c:ptCount val="2"/>
                <c:pt idx="0" formatCode="_([$GHS]\ * #,##0.00_);_([$GHS]\ * \(#,##0.00\);_([$GHS]\ * &quot;-&quot;??_);_(@_)">
                  <c:v>69200</c:v>
                </c:pt>
                <c:pt idx="1" formatCode="_([$GHS]\ * #,##0.00_);_([$GHS]\ * \(#,##0.00\);_([$GHS]\ * &quot;-&quot;??_);_(@_)">
                  <c:v>2410</c:v>
                </c:pt>
              </c:numCache>
            </c:numRef>
          </c:val>
          <c:extLst>
            <c:ext xmlns:c15="http://schemas.microsoft.com/office/drawing/2012/chart" uri="{02D57815-91ED-43cb-92C2-25804820EDAC}">
              <c15:categoryFilterExceptions>
                <c15:categoryFilterException>
                  <c15:sqref>Dashboard_Data!$B$10</c15:sqref>
                  <c15:spPr xmlns:c15="http://schemas.microsoft.com/office/drawing/2012/chart">
                    <a:solidFill>
                      <a:schemeClr val="accent2"/>
                    </a:solidFill>
                    <a:ln w="19050">
                      <a:solidFill>
                        <a:schemeClr val="lt1"/>
                      </a:solidFill>
                    </a:ln>
                    <a:effectLst/>
                  </c15:spPr>
                  <c15:explosion val="25"/>
                </c15:categoryFilterException>
              </c15:categoryFilterExceptions>
            </c:ext>
            <c:ext xmlns:c16="http://schemas.microsoft.com/office/drawing/2014/chart" uri="{C3380CC4-5D6E-409C-BE32-E72D297353CC}">
              <c16:uniqueId val="{00000006-5E0D-450A-9EDF-F34C9C4D2D7D}"/>
            </c:ext>
          </c:extLst>
        </c:ser>
        <c:dLbls>
          <c:showLegendKey val="0"/>
          <c:showVal val="0"/>
          <c:showCatName val="0"/>
          <c:showSerName val="0"/>
          <c:showPercent val="0"/>
          <c:showBubbleSize val="0"/>
          <c:showLeaderLines val="0"/>
        </c:dLbls>
        <c:firstSliceAng val="0"/>
        <c:holeSize val="41"/>
      </c:doughnutChart>
      <c:spPr>
        <a:noFill/>
        <a:ln>
          <a:noFill/>
        </a:ln>
        <a:effectLst/>
      </c:spPr>
    </c:plotArea>
    <c:legend>
      <c:legendPos val="l"/>
      <c:layout/>
      <c:overlay val="0"/>
      <c:spPr>
        <a:noFill/>
        <a:ln>
          <a:noFill/>
        </a:ln>
        <a:effectLst>
          <a:outerShdw blurRad="50800" dir="5400000" sx="1000" sy="1000" algn="ctr" rotWithShape="0">
            <a:srgbClr val="000000">
              <a:alpha val="43137"/>
            </a:srgbClr>
          </a:outerShdw>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2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a:bevelT w="152400" h="38100"/>
      <a:bevelB w="0" h="0"/>
    </a:sp3d>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Raw_Data!$I$1</c:f>
              <c:strCache>
                <c:ptCount val="1"/>
                <c:pt idx="0">
                  <c:v>PROFIT</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strRef>
              <c:f>Raw_Data!$B$2:$B$13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Raw_Data!$I$2:$I$13</c:f>
              <c:numCache>
                <c:formatCode>_([$GHS]\ * #,##0.00_);_([$GHS]\ * \(#,##0.00\);_([$GHS]\ * "-"??_);_(@_)</c:formatCode>
                <c:ptCount val="12"/>
                <c:pt idx="0">
                  <c:v>38564</c:v>
                </c:pt>
                <c:pt idx="1">
                  <c:v>43672.5</c:v>
                </c:pt>
                <c:pt idx="2">
                  <c:v>21631.5</c:v>
                </c:pt>
                <c:pt idx="3">
                  <c:v>39259</c:v>
                </c:pt>
                <c:pt idx="4">
                  <c:v>48759</c:v>
                </c:pt>
                <c:pt idx="5">
                  <c:v>37600</c:v>
                </c:pt>
                <c:pt idx="6">
                  <c:v>29643</c:v>
                </c:pt>
                <c:pt idx="7">
                  <c:v>35313.5</c:v>
                </c:pt>
                <c:pt idx="8">
                  <c:v>52556</c:v>
                </c:pt>
                <c:pt idx="9">
                  <c:v>74485</c:v>
                </c:pt>
                <c:pt idx="10">
                  <c:v>54840.5</c:v>
                </c:pt>
                <c:pt idx="11">
                  <c:v>22766</c:v>
                </c:pt>
              </c:numCache>
            </c:numRef>
          </c:val>
          <c:smooth val="0"/>
          <c:extLst>
            <c:ext xmlns:c16="http://schemas.microsoft.com/office/drawing/2014/chart" uri="{C3380CC4-5D6E-409C-BE32-E72D297353CC}">
              <c16:uniqueId val="{00000000-874E-4D3A-BBF8-77420ACB049A}"/>
            </c:ext>
          </c:extLst>
        </c:ser>
        <c:dLbls>
          <c:showLegendKey val="0"/>
          <c:showVal val="0"/>
          <c:showCatName val="0"/>
          <c:showSerName val="0"/>
          <c:showPercent val="0"/>
          <c:showBubbleSize val="0"/>
        </c:dLbls>
        <c:marker val="1"/>
        <c:smooth val="0"/>
        <c:axId val="1195057696"/>
        <c:axId val="1195067264"/>
      </c:lineChart>
      <c:catAx>
        <c:axId val="119505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067264"/>
        <c:crosses val="autoZero"/>
        <c:auto val="1"/>
        <c:lblAlgn val="ctr"/>
        <c:lblOffset val="100"/>
        <c:noMultiLvlLbl val="0"/>
      </c:catAx>
      <c:valAx>
        <c:axId val="1195067264"/>
        <c:scaling>
          <c:orientation val="minMax"/>
        </c:scaling>
        <c:delete val="0"/>
        <c:axPos val="l"/>
        <c:majorGridlines>
          <c:spPr>
            <a:ln w="9525" cap="flat" cmpd="sng" algn="ctr">
              <a:solidFill>
                <a:schemeClr val="tx1">
                  <a:lumMod val="15000"/>
                  <a:lumOff val="85000"/>
                </a:schemeClr>
              </a:solidFill>
              <a:round/>
            </a:ln>
            <a:effectLst/>
          </c:spPr>
        </c:majorGridlines>
        <c:numFmt formatCode="_([$GHS]\ * #,##0.00_);_([$GHS]\ * \(#,##0.00\);_([$GHS]\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057696"/>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72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scene3d>
      <a:camera prst="orthographicFront"/>
      <a:lightRig rig="threePt" dir="t"/>
    </a:scene3d>
    <a:sp3d>
      <a:bevelT w="152400"/>
    </a:sp3d>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391390</xdr:colOff>
      <xdr:row>0</xdr:row>
      <xdr:rowOff>17318</xdr:rowOff>
    </xdr:from>
    <xdr:to>
      <xdr:col>13</xdr:col>
      <xdr:colOff>391389</xdr:colOff>
      <xdr:row>16</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415636</xdr:colOff>
      <xdr:row>0</xdr:row>
      <xdr:rowOff>12124</xdr:rowOff>
    </xdr:from>
    <xdr:to>
      <xdr:col>24</xdr:col>
      <xdr:colOff>0</xdr:colOff>
      <xdr:row>16</xdr:row>
      <xdr:rowOff>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78797</xdr:rowOff>
    </xdr:from>
    <xdr:to>
      <xdr:col>8</xdr:col>
      <xdr:colOff>587086</xdr:colOff>
      <xdr:row>32</xdr:row>
      <xdr:rowOff>50222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37234</xdr:colOff>
      <xdr:row>16</xdr:row>
      <xdr:rowOff>61479</xdr:rowOff>
    </xdr:from>
    <xdr:to>
      <xdr:col>16</xdr:col>
      <xdr:colOff>571500</xdr:colOff>
      <xdr:row>32</xdr:row>
      <xdr:rowOff>86590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17318</xdr:colOff>
      <xdr:row>0</xdr:row>
      <xdr:rowOff>17319</xdr:rowOff>
    </xdr:from>
    <xdr:to>
      <xdr:col>4</xdr:col>
      <xdr:colOff>381000</xdr:colOff>
      <xdr:row>16</xdr:row>
      <xdr:rowOff>1</xdr:rowOff>
    </xdr:to>
    <mc:AlternateContent xmlns:mc="http://schemas.openxmlformats.org/markup-compatibility/2006" xmlns:sle15="http://schemas.microsoft.com/office/drawing/2012/slicer">
      <mc:Choice Requires="sle15">
        <xdr:graphicFrame macro="">
          <xdr:nvGraphicFramePr>
            <xdr:cNvPr id="9"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7318" y="17319"/>
              <a:ext cx="2802082" cy="374505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xdr:from>
      <xdr:col>24</xdr:col>
      <xdr:colOff>600075</xdr:colOff>
      <xdr:row>6</xdr:row>
      <xdr:rowOff>1731</xdr:rowOff>
    </xdr:from>
    <xdr:to>
      <xdr:col>26</xdr:col>
      <xdr:colOff>806450</xdr:colOff>
      <xdr:row>27</xdr:row>
      <xdr:rowOff>83646</xdr:rowOff>
    </xdr:to>
    <xdr:sp macro="" textlink="">
      <xdr:nvSpPr>
        <xdr:cNvPr id="10" name="Text Box 2"/>
        <xdr:cNvSpPr txBox="1"/>
      </xdr:nvSpPr>
      <xdr:spPr>
        <a:xfrm>
          <a:off x="15147348" y="1837458"/>
          <a:ext cx="2613602" cy="4082415"/>
        </a:xfrm>
        <a:prstGeom prst="roundRect">
          <a:avLst>
            <a:gd name="adj" fmla="val 5531"/>
          </a:avLst>
        </a:prstGeom>
        <a:solidFill>
          <a:srgbClr val="A6F98F">
            <a:alpha val="69804"/>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marR="0" algn="ctr">
            <a:lnSpc>
              <a:spcPct val="107000"/>
            </a:lnSpc>
            <a:spcBef>
              <a:spcPts val="0"/>
            </a:spcBef>
            <a:spcAft>
              <a:spcPts val="800"/>
            </a:spcAft>
          </a:pPr>
          <a:r>
            <a:rPr lang="en-US" sz="2400" b="1" u="sng">
              <a:solidFill>
                <a:schemeClr val="tx1"/>
              </a:solidFill>
              <a:effectLst/>
              <a:ea typeface="Calibri" panose="020F0502020204030204" pitchFamily="34" charset="0"/>
              <a:cs typeface="Times New Roman" panose="02020603050405020304" pitchFamily="18" charset="0"/>
            </a:rPr>
            <a:t> KEY</a:t>
          </a:r>
          <a:r>
            <a:rPr lang="en-US" sz="2400" b="1" u="sng" baseline="0">
              <a:solidFill>
                <a:schemeClr val="tx1"/>
              </a:solidFill>
              <a:effectLst/>
              <a:ea typeface="Calibri" panose="020F0502020204030204" pitchFamily="34" charset="0"/>
              <a:cs typeface="Times New Roman" panose="02020603050405020304" pitchFamily="18" charset="0"/>
            </a:rPr>
            <a:t> INSIGHT</a:t>
          </a:r>
        </a:p>
        <a:p>
          <a:pPr marL="0" marR="0" algn="ctr">
            <a:lnSpc>
              <a:spcPct val="107000"/>
            </a:lnSpc>
            <a:spcBef>
              <a:spcPts val="0"/>
            </a:spcBef>
            <a:spcAft>
              <a:spcPts val="800"/>
            </a:spcAft>
          </a:pPr>
          <a:endParaRPr lang="en-US" sz="1100">
            <a:effectLst/>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0"/>
            </a:spcAft>
            <a:buSzPts val="2800"/>
            <a:buFont typeface="Symbol" panose="05050102010706020507" pitchFamily="18" charset="2"/>
            <a:buBlip>
              <a:blip xmlns:r="http://schemas.openxmlformats.org/officeDocument/2006/relationships" r:embed="rId5"/>
            </a:buBlip>
          </a:pPr>
          <a:r>
            <a:rPr lang="en-US" sz="1100">
              <a:solidFill>
                <a:srgbClr val="0D0D0D"/>
              </a:solidFill>
              <a:effectLst/>
              <a:ea typeface="Calibri" panose="020F0502020204030204" pitchFamily="34" charset="0"/>
              <a:cs typeface="Times New Roman" panose="02020603050405020304" pitchFamily="18" charset="0"/>
            </a:rPr>
            <a:t>Revenue peaked in </a:t>
          </a:r>
          <a:r>
            <a:rPr lang="en-US" sz="1100" b="1">
              <a:solidFill>
                <a:srgbClr val="0D0D0D"/>
              </a:solidFill>
              <a:effectLst/>
              <a:ea typeface="Calibri" panose="020F0502020204030204" pitchFamily="34" charset="0"/>
              <a:cs typeface="Times New Roman" panose="02020603050405020304" pitchFamily="18" charset="0"/>
            </a:rPr>
            <a:t>October at GHS 83,600, </a:t>
          </a:r>
          <a:r>
            <a:rPr lang="en-US" sz="1100">
              <a:solidFill>
                <a:srgbClr val="0D0D0D"/>
              </a:solidFill>
              <a:effectLst/>
              <a:ea typeface="Calibri" panose="020F0502020204030204" pitchFamily="34" charset="0"/>
              <a:cs typeface="Times New Roman" panose="02020603050405020304" pitchFamily="18" charset="0"/>
            </a:rPr>
            <a:t>indicating strong seasonal demand.</a:t>
          </a:r>
          <a:endParaRPr lang="en-US" sz="1100">
            <a:effectLst/>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0"/>
            </a:spcAft>
            <a:buSzPts val="2800"/>
            <a:buFont typeface="Symbol" panose="05050102010706020507" pitchFamily="18" charset="2"/>
            <a:buBlip>
              <a:blip xmlns:r="http://schemas.openxmlformats.org/officeDocument/2006/relationships" r:embed="rId5"/>
            </a:buBlip>
          </a:pPr>
          <a:r>
            <a:rPr lang="en-US" sz="1100">
              <a:solidFill>
                <a:srgbClr val="0D0D0D"/>
              </a:solidFill>
              <a:effectLst/>
              <a:ea typeface="Calibri" panose="020F0502020204030204" pitchFamily="34" charset="0"/>
              <a:cs typeface="Times New Roman" panose="02020603050405020304" pitchFamily="18" charset="0"/>
            </a:rPr>
            <a:t>Fuel expenses are the largest cost driver, accounting for </a:t>
          </a:r>
          <a:r>
            <a:rPr lang="en-US" sz="1100" b="1">
              <a:solidFill>
                <a:srgbClr val="0D0D0D"/>
              </a:solidFill>
              <a:effectLst/>
              <a:ea typeface="Calibri" panose="020F0502020204030204" pitchFamily="34" charset="0"/>
              <a:cs typeface="Times New Roman" panose="02020603050405020304" pitchFamily="18" charset="0"/>
            </a:rPr>
            <a:t>12.1%</a:t>
          </a:r>
          <a:r>
            <a:rPr lang="en-US" sz="1100">
              <a:solidFill>
                <a:srgbClr val="0D0D0D"/>
              </a:solidFill>
              <a:effectLst/>
              <a:ea typeface="Calibri" panose="020F0502020204030204" pitchFamily="34" charset="0"/>
              <a:cs typeface="Times New Roman" panose="02020603050405020304" pitchFamily="18" charset="0"/>
            </a:rPr>
            <a:t> of total revenue.</a:t>
          </a:r>
          <a:endParaRPr lang="en-US" sz="1100">
            <a:effectLst/>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0"/>
            </a:spcAft>
            <a:buSzPts val="2800"/>
            <a:buFont typeface="Symbol" panose="05050102010706020507" pitchFamily="18" charset="2"/>
            <a:buBlip>
              <a:blip xmlns:r="http://schemas.openxmlformats.org/officeDocument/2006/relationships" r:embed="rId5"/>
            </a:buBlip>
          </a:pPr>
          <a:r>
            <a:rPr lang="en-US" sz="1100">
              <a:solidFill>
                <a:srgbClr val="0D0D0D"/>
              </a:solidFill>
              <a:effectLst/>
              <a:ea typeface="Calibri" panose="020F0502020204030204" pitchFamily="34" charset="0"/>
              <a:cs typeface="Times New Roman" panose="02020603050405020304" pitchFamily="18" charset="0"/>
            </a:rPr>
            <a:t>Student enrollment peaked in </a:t>
          </a:r>
          <a:r>
            <a:rPr lang="en-US" sz="1100" b="1">
              <a:solidFill>
                <a:srgbClr val="0D0D0D"/>
              </a:solidFill>
              <a:effectLst/>
              <a:ea typeface="Calibri" panose="020F0502020204030204" pitchFamily="34" charset="0"/>
              <a:cs typeface="Times New Roman" panose="02020603050405020304" pitchFamily="18" charset="0"/>
            </a:rPr>
            <a:t>October</a:t>
          </a:r>
          <a:r>
            <a:rPr lang="en-US" sz="1100">
              <a:solidFill>
                <a:srgbClr val="0D0D0D"/>
              </a:solidFill>
              <a:effectLst/>
              <a:ea typeface="Calibri" panose="020F0502020204030204" pitchFamily="34" charset="0"/>
              <a:cs typeface="Times New Roman" panose="02020603050405020304" pitchFamily="18" charset="0"/>
            </a:rPr>
            <a:t> but dropped sharply in December.</a:t>
          </a:r>
          <a:endParaRPr lang="en-US" sz="1100">
            <a:effectLst/>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0"/>
            </a:spcAft>
            <a:buSzPts val="2800"/>
            <a:buFont typeface="Symbol" panose="05050102010706020507" pitchFamily="18" charset="2"/>
            <a:buBlip>
              <a:blip xmlns:r="http://schemas.openxmlformats.org/officeDocument/2006/relationships" r:embed="rId5"/>
            </a:buBlip>
          </a:pPr>
          <a:r>
            <a:rPr lang="en-US" sz="1100">
              <a:solidFill>
                <a:srgbClr val="0D0D0D"/>
              </a:solidFill>
              <a:effectLst/>
              <a:ea typeface="Calibri" panose="020F0502020204030204" pitchFamily="34" charset="0"/>
              <a:cs typeface="Times New Roman" panose="02020603050405020304" pitchFamily="18" charset="0"/>
            </a:rPr>
            <a:t>The business maintained </a:t>
          </a:r>
          <a:r>
            <a:rPr lang="en-US" sz="1100" b="1">
              <a:solidFill>
                <a:srgbClr val="0D0D0D"/>
              </a:solidFill>
              <a:effectLst/>
              <a:ea typeface="Calibri" panose="020F0502020204030204" pitchFamily="34" charset="0"/>
              <a:cs typeface="Times New Roman" panose="02020603050405020304" pitchFamily="18" charset="0"/>
            </a:rPr>
            <a:t>strong profit margins </a:t>
          </a:r>
          <a:endParaRPr lang="en-US" sz="1100">
            <a:effectLst/>
            <a:ea typeface="Calibri" panose="020F0502020204030204" pitchFamily="34" charset="0"/>
            <a:cs typeface="Times New Roman" panose="02020603050405020304" pitchFamily="18" charset="0"/>
          </a:endParaRPr>
        </a:p>
        <a:p>
          <a:pPr marL="457200" marR="0">
            <a:lnSpc>
              <a:spcPct val="107000"/>
            </a:lnSpc>
            <a:spcBef>
              <a:spcPts val="0"/>
            </a:spcBef>
            <a:spcAft>
              <a:spcPts val="0"/>
            </a:spcAft>
          </a:pPr>
          <a:r>
            <a:rPr lang="en-US" sz="1100" b="1">
              <a:solidFill>
                <a:srgbClr val="0D0D0D"/>
              </a:solidFill>
              <a:effectLst/>
              <a:ea typeface="Calibri" panose="020F0502020204030204" pitchFamily="34" charset="0"/>
              <a:cs typeface="Times New Roman" panose="02020603050405020304" pitchFamily="18" charset="0"/>
            </a:rPr>
            <a:t>(85% - 93%)</a:t>
          </a:r>
          <a:r>
            <a:rPr lang="en-US" sz="1100">
              <a:solidFill>
                <a:srgbClr val="0D0D0D"/>
              </a:solidFill>
              <a:effectLst/>
              <a:ea typeface="Calibri" panose="020F0502020204030204" pitchFamily="34" charset="0"/>
              <a:cs typeface="Times New Roman" panose="02020603050405020304" pitchFamily="18" charset="0"/>
            </a:rPr>
            <a:t>, showing effective cost control.</a:t>
          </a:r>
          <a:endParaRPr lang="en-US" sz="1100">
            <a:effectLst/>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800"/>
            </a:spcAft>
            <a:buSzPts val="2800"/>
            <a:buFont typeface="Symbol" panose="05050102010706020507" pitchFamily="18" charset="2"/>
            <a:buBlip>
              <a:blip xmlns:r="http://schemas.openxmlformats.org/officeDocument/2006/relationships" r:embed="rId5"/>
            </a:buBlip>
          </a:pPr>
          <a:r>
            <a:rPr lang="en-US" sz="1100">
              <a:solidFill>
                <a:srgbClr val="0D0D0D"/>
              </a:solidFill>
              <a:effectLst/>
              <a:ea typeface="Calibri" panose="020F0502020204030204" pitchFamily="34" charset="0"/>
              <a:cs typeface="Times New Roman" panose="02020603050405020304" pitchFamily="18" charset="0"/>
            </a:rPr>
            <a:t>High debtors (</a:t>
          </a:r>
          <a:r>
            <a:rPr lang="en-US" sz="1100" b="1">
              <a:solidFill>
                <a:srgbClr val="0D0D0D"/>
              </a:solidFill>
              <a:effectLst/>
              <a:ea typeface="Calibri" panose="020F0502020204030204" pitchFamily="34" charset="0"/>
              <a:cs typeface="Times New Roman" panose="02020603050405020304" pitchFamily="18" charset="0"/>
            </a:rPr>
            <a:t>GHS 100,400) </a:t>
          </a:r>
          <a:r>
            <a:rPr lang="en-US" sz="1100">
              <a:solidFill>
                <a:srgbClr val="0D0D0D"/>
              </a:solidFill>
              <a:effectLst/>
              <a:ea typeface="Calibri" panose="020F0502020204030204" pitchFamily="34" charset="0"/>
              <a:cs typeface="Times New Roman" panose="02020603050405020304" pitchFamily="18" charset="0"/>
            </a:rPr>
            <a:t>may impact cash flow. Stronger collection strategies are needed.</a:t>
          </a:r>
          <a:endParaRPr lang="en-US" sz="1100">
            <a:effectLs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ea typeface="Calibri" panose="020F0502020204030204" pitchFamily="34" charset="0"/>
              <a:cs typeface="Times New Roman" panose="02020603050405020304" pitchFamily="18" charset="0"/>
            </a:rPr>
            <a:t> </a:t>
          </a:r>
        </a:p>
      </xdr:txBody>
    </xdr:sp>
    <xdr:clientData/>
  </xdr:twoCellAnchor>
  <xdr:twoCellAnchor>
    <xdr:from>
      <xdr:col>25</xdr:col>
      <xdr:colOff>8283</xdr:colOff>
      <xdr:row>27</xdr:row>
      <xdr:rowOff>173935</xdr:rowOff>
    </xdr:from>
    <xdr:to>
      <xdr:col>26</xdr:col>
      <xdr:colOff>828262</xdr:colOff>
      <xdr:row>41</xdr:row>
      <xdr:rowOff>140805</xdr:rowOff>
    </xdr:to>
    <xdr:sp macro="" textlink="">
      <xdr:nvSpPr>
        <xdr:cNvPr id="13" name="Text Box 2"/>
        <xdr:cNvSpPr txBox="1"/>
      </xdr:nvSpPr>
      <xdr:spPr>
        <a:xfrm>
          <a:off x="15331109" y="6021457"/>
          <a:ext cx="2617305" cy="2633870"/>
        </a:xfrm>
        <a:prstGeom prst="roundRect">
          <a:avLst>
            <a:gd name="adj" fmla="val 5531"/>
          </a:avLst>
        </a:prstGeom>
        <a:solidFill>
          <a:schemeClr val="accent1">
            <a:lumMod val="40000"/>
            <a:lumOff val="60000"/>
            <a:alpha val="69804"/>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marR="0" algn="ctr">
            <a:lnSpc>
              <a:spcPct val="107000"/>
            </a:lnSpc>
            <a:spcBef>
              <a:spcPts val="0"/>
            </a:spcBef>
            <a:spcAft>
              <a:spcPts val="800"/>
            </a:spcAft>
          </a:pPr>
          <a:r>
            <a:rPr lang="en-US" sz="1800" b="1" u="sng">
              <a:solidFill>
                <a:srgbClr val="000000"/>
              </a:solidFill>
              <a:effectLst/>
              <a:ea typeface="Calibri" panose="020F0502020204030204" pitchFamily="34" charset="0"/>
              <a:cs typeface="Times New Roman" panose="02020603050405020304" pitchFamily="18" charset="0"/>
            </a:rPr>
            <a:t>RECOMMENDATIONS</a:t>
          </a:r>
          <a:endParaRPr lang="en-US" sz="1100">
            <a:effectLst/>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0"/>
            </a:spcAft>
            <a:buSzPts val="2400"/>
            <a:buFont typeface="Symbol" panose="05050102010706020507" pitchFamily="18" charset="2"/>
            <a:buBlip>
              <a:blip xmlns:r="http://schemas.openxmlformats.org/officeDocument/2006/relationships" r:embed="rId6"/>
            </a:buBlip>
          </a:pPr>
          <a:r>
            <a:rPr lang="en-US" sz="1100">
              <a:solidFill>
                <a:srgbClr val="0D0D0D"/>
              </a:solidFill>
              <a:effectLst/>
              <a:ea typeface="Calibri" panose="020F0502020204030204" pitchFamily="34" charset="0"/>
              <a:cs typeface="Times New Roman" panose="02020603050405020304" pitchFamily="18" charset="0"/>
            </a:rPr>
            <a:t>Reduce fuel cost through fuel optimization and fuel efficiency strategies.</a:t>
          </a:r>
          <a:endParaRPr lang="en-US" sz="1100">
            <a:effectLst/>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0"/>
            </a:spcAft>
            <a:buSzPts val="2400"/>
            <a:buFont typeface="Symbol" panose="05050102010706020507" pitchFamily="18" charset="2"/>
            <a:buBlip>
              <a:blip xmlns:r="http://schemas.openxmlformats.org/officeDocument/2006/relationships" r:embed="rId6"/>
            </a:buBlip>
          </a:pPr>
          <a:r>
            <a:rPr lang="en-US" sz="1100">
              <a:solidFill>
                <a:srgbClr val="0D0D0D"/>
              </a:solidFill>
              <a:effectLst/>
              <a:ea typeface="Calibri" panose="020F0502020204030204" pitchFamily="34" charset="0"/>
              <a:cs typeface="Times New Roman" panose="02020603050405020304" pitchFamily="18" charset="0"/>
            </a:rPr>
            <a:t>Introduce promotions during low-performing months.</a:t>
          </a:r>
          <a:endParaRPr lang="en-US" sz="1100">
            <a:effectLst/>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0"/>
            </a:spcAft>
            <a:buSzPts val="2400"/>
            <a:buFont typeface="Symbol" panose="05050102010706020507" pitchFamily="18" charset="2"/>
            <a:buBlip>
              <a:blip xmlns:r="http://schemas.openxmlformats.org/officeDocument/2006/relationships" r:embed="rId6"/>
            </a:buBlip>
          </a:pPr>
          <a:r>
            <a:rPr lang="en-US" sz="1100">
              <a:solidFill>
                <a:srgbClr val="0D0D0D"/>
              </a:solidFill>
              <a:effectLst/>
              <a:ea typeface="Calibri" panose="020F0502020204030204" pitchFamily="34" charset="0"/>
              <a:cs typeface="Times New Roman" panose="02020603050405020304" pitchFamily="18" charset="0"/>
            </a:rPr>
            <a:t>Implement stricter debtor collection policies to improve cash flow.</a:t>
          </a:r>
          <a:endParaRPr lang="en-US" sz="1100">
            <a:effectLst/>
            <a:ea typeface="Calibri" panose="020F0502020204030204" pitchFamily="34" charset="0"/>
            <a:cs typeface="Times New Roman" panose="02020603050405020304" pitchFamily="18" charset="0"/>
          </a:endParaRPr>
        </a:p>
        <a:p>
          <a:pPr marL="342900" marR="0" lvl="0" indent="-342900">
            <a:lnSpc>
              <a:spcPct val="107000"/>
            </a:lnSpc>
            <a:spcBef>
              <a:spcPts val="0"/>
            </a:spcBef>
            <a:spcAft>
              <a:spcPts val="800"/>
            </a:spcAft>
            <a:buSzPts val="2400"/>
            <a:buFont typeface="Symbol" panose="05050102010706020507" pitchFamily="18" charset="2"/>
            <a:buBlip>
              <a:blip xmlns:r="http://schemas.openxmlformats.org/officeDocument/2006/relationships" r:embed="rId6"/>
            </a:buBlip>
          </a:pPr>
          <a:r>
            <a:rPr lang="en-US" sz="1100">
              <a:solidFill>
                <a:srgbClr val="0D0D0D"/>
              </a:solidFill>
              <a:effectLst/>
              <a:ea typeface="Calibri" panose="020F0502020204030204" pitchFamily="34" charset="0"/>
              <a:cs typeface="Times New Roman" panose="02020603050405020304" pitchFamily="18" charset="0"/>
            </a:rPr>
            <a:t>Invest in consistent marketing to stabilize monthly growth.</a:t>
          </a:r>
          <a:endParaRPr lang="en-US" sz="1100">
            <a:effectLst/>
            <a:ea typeface="Calibri" panose="020F0502020204030204" pitchFamily="34" charset="0"/>
            <a:cs typeface="Times New Roman" panose="02020603050405020304" pitchFamily="18" charset="0"/>
          </a:endParaRP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cache="Slicer_MONTHS" caption="MONTHS" rowHeight="241300"/>
</slicers>
</file>

<file path=xl/tables/table1.xml><?xml version="1.0" encoding="utf-8"?>
<table xmlns="http://schemas.openxmlformats.org/spreadsheetml/2006/main" id="2" name="Table2" displayName="Table2" ref="A1:M14" totalsRowShown="0" headerRowDxfId="15" dataDxfId="14">
  <autoFilter ref="A1:M14"/>
  <tableColumns count="13">
    <tableColumn id="1" name="DATE"/>
    <tableColumn id="2" name="MONTHS" dataDxfId="13"/>
    <tableColumn id="3" name="STUDENTS_REGISTERD" dataDxfId="12"/>
    <tableColumn id="4" name="REVENUE" dataDxfId="11"/>
    <tableColumn id="5" name="FUEL_EXPENSES" dataDxfId="10"/>
    <tableColumn id="6" name="OTHER_EXPENSES" dataDxfId="9"/>
    <tableColumn id="7" name="DEBTORS" dataDxfId="8"/>
    <tableColumn id="8" name="TOTAL_EXPENSES" dataDxfId="7"/>
    <tableColumn id="9" name="PROFIT" dataDxfId="6"/>
    <tableColumn id="10" name="GROWTH_RATE" dataDxfId="5">
      <calculatedColumnFormula>(D2-D1)/D1</calculatedColumnFormula>
    </tableColumn>
    <tableColumn id="11" name="REVENUE PER STUDENT " dataDxfId="4">
      <calculatedColumnFormula>D2/C2</calculatedColumnFormula>
    </tableColumn>
    <tableColumn id="12" name="PROFIT MARGIN" dataDxfId="3" dataCellStyle="Percent">
      <calculatedColumnFormula>I2/D2</calculatedColumnFormula>
    </tableColumn>
    <tableColumn id="13" name="EXPENSE RATIO" dataDxfId="2">
      <calculatedColumnFormula>H2/D2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8:B12" totalsRowShown="0">
  <autoFilter ref="A8:B12"/>
  <tableColumns count="2">
    <tableColumn id="1" name="Expenses Type" dataDxfId="1"/>
    <tableColumn id="2" name="Amount" dataDxfId="0"/>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6"/>
  <sheetViews>
    <sheetView zoomScale="64" zoomScaleNormal="64" workbookViewId="0">
      <selection activeCell="J22" sqref="J22"/>
    </sheetView>
  </sheetViews>
  <sheetFormatPr defaultRowHeight="15" x14ac:dyDescent="0.25"/>
  <cols>
    <col min="1" max="1" width="9.140625" style="5"/>
    <col min="2" max="2" width="11.140625" customWidth="1"/>
    <col min="3" max="3" width="23.5703125" customWidth="1"/>
    <col min="4" max="4" width="22.85546875" style="8" customWidth="1"/>
    <col min="5" max="5" width="21.5703125" style="8" customWidth="1"/>
    <col min="6" max="6" width="19.5703125" style="8" customWidth="1"/>
    <col min="7" max="7" width="22.85546875" style="8" customWidth="1"/>
    <col min="8" max="8" width="22.140625" style="8" customWidth="1"/>
    <col min="9" max="9" width="23" style="8" customWidth="1"/>
    <col min="10" max="10" width="21.85546875" style="21" customWidth="1"/>
    <col min="11" max="11" width="31.5703125" customWidth="1"/>
    <col min="12" max="12" width="27.140625" style="27" customWidth="1"/>
    <col min="13" max="13" width="28.5703125" customWidth="1"/>
  </cols>
  <sheetData>
    <row r="1" spans="1:29" x14ac:dyDescent="0.25">
      <c r="A1" s="3" t="s">
        <v>0</v>
      </c>
      <c r="B1" s="2" t="s">
        <v>1</v>
      </c>
      <c r="C1" s="2" t="s">
        <v>2</v>
      </c>
      <c r="D1" s="6" t="s">
        <v>3</v>
      </c>
      <c r="E1" s="6" t="s">
        <v>4</v>
      </c>
      <c r="F1" s="6" t="s">
        <v>5</v>
      </c>
      <c r="G1" s="6" t="s">
        <v>6</v>
      </c>
      <c r="H1" s="6" t="s">
        <v>32</v>
      </c>
      <c r="I1" s="6" t="s">
        <v>31</v>
      </c>
      <c r="J1" s="20" t="s">
        <v>45</v>
      </c>
      <c r="K1" s="6" t="s">
        <v>46</v>
      </c>
      <c r="L1" s="25" t="s">
        <v>47</v>
      </c>
      <c r="M1" s="6" t="s">
        <v>48</v>
      </c>
      <c r="N1" s="1"/>
      <c r="O1" s="1"/>
      <c r="P1" s="1"/>
      <c r="Q1" s="1"/>
      <c r="R1" s="1"/>
      <c r="S1" s="1"/>
      <c r="T1" s="1"/>
      <c r="U1" s="1"/>
      <c r="V1" s="1"/>
      <c r="W1" s="1"/>
      <c r="X1" s="1"/>
      <c r="Y1" s="1"/>
      <c r="Z1" s="1"/>
      <c r="AA1" s="1"/>
      <c r="AB1" s="1"/>
      <c r="AC1" s="1"/>
    </row>
    <row r="2" spans="1:29" x14ac:dyDescent="0.25">
      <c r="A2" s="4" t="s">
        <v>7</v>
      </c>
      <c r="B2" s="1" t="s">
        <v>8</v>
      </c>
      <c r="C2" s="1">
        <v>17</v>
      </c>
      <c r="D2" s="7">
        <v>43500</v>
      </c>
      <c r="E2" s="7">
        <v>4450</v>
      </c>
      <c r="F2" s="7">
        <v>486</v>
      </c>
      <c r="G2" s="7">
        <v>4500</v>
      </c>
      <c r="H2" s="7">
        <f>E2+F2</f>
        <v>4936</v>
      </c>
      <c r="I2" s="7">
        <f>D2-H2</f>
        <v>38564</v>
      </c>
      <c r="J2" s="19"/>
      <c r="K2" s="7">
        <f t="shared" ref="K2:K13" si="0">D2/C2</f>
        <v>2558.8235294117649</v>
      </c>
      <c r="L2" s="26">
        <f t="shared" ref="L2:L13" si="1">I2/D2</f>
        <v>0.88652873563218393</v>
      </c>
      <c r="M2" s="7">
        <f t="shared" ref="M2:M13" si="2">H2/D2</f>
        <v>0.11347126436781609</v>
      </c>
      <c r="N2" s="1"/>
      <c r="O2" s="1"/>
      <c r="P2" s="1"/>
      <c r="Q2" s="1"/>
      <c r="R2" s="1"/>
      <c r="S2" s="1"/>
      <c r="T2" s="1"/>
      <c r="U2" s="1"/>
      <c r="V2" s="1"/>
      <c r="W2" s="1"/>
      <c r="X2" s="1"/>
      <c r="Y2" s="1"/>
      <c r="Z2" s="1"/>
      <c r="AA2" s="1"/>
      <c r="AB2" s="1"/>
      <c r="AC2" s="1"/>
    </row>
    <row r="3" spans="1:29" x14ac:dyDescent="0.25">
      <c r="A3" s="4" t="s">
        <v>9</v>
      </c>
      <c r="B3" s="1" t="s">
        <v>10</v>
      </c>
      <c r="C3" s="1">
        <v>20</v>
      </c>
      <c r="D3" s="7">
        <v>49900</v>
      </c>
      <c r="E3" s="7">
        <v>6050</v>
      </c>
      <c r="F3" s="7">
        <v>177.5</v>
      </c>
      <c r="G3" s="7">
        <v>6500</v>
      </c>
      <c r="H3" s="7">
        <f>E3+F3</f>
        <v>6227.5</v>
      </c>
      <c r="I3" s="7">
        <f t="shared" ref="I3:I13" si="3">D3-H3</f>
        <v>43672.5</v>
      </c>
      <c r="J3" s="19">
        <f t="shared" ref="J3:J13" si="4">(D3-D2)/D2</f>
        <v>0.14712643678160919</v>
      </c>
      <c r="K3" s="7">
        <f t="shared" si="0"/>
        <v>2495</v>
      </c>
      <c r="L3" s="26">
        <f t="shared" si="1"/>
        <v>0.87520040080160322</v>
      </c>
      <c r="M3" s="7">
        <f t="shared" si="2"/>
        <v>0.1247995991983968</v>
      </c>
      <c r="N3" s="1"/>
      <c r="O3" s="1"/>
      <c r="P3" s="1"/>
      <c r="Q3" s="1"/>
      <c r="R3" s="1"/>
      <c r="S3" s="1"/>
      <c r="T3" s="1"/>
      <c r="U3" s="1"/>
      <c r="V3" s="1"/>
      <c r="W3" s="1"/>
      <c r="X3" s="1"/>
      <c r="Y3" s="1"/>
      <c r="Z3" s="1"/>
      <c r="AA3" s="1"/>
      <c r="AB3" s="1"/>
      <c r="AC3" s="1"/>
    </row>
    <row r="4" spans="1:29" x14ac:dyDescent="0.25">
      <c r="A4" s="4" t="s">
        <v>11</v>
      </c>
      <c r="B4" s="1" t="s">
        <v>12</v>
      </c>
      <c r="C4" s="1">
        <v>10</v>
      </c>
      <c r="D4" s="7">
        <v>28900</v>
      </c>
      <c r="E4" s="7">
        <v>7000</v>
      </c>
      <c r="F4" s="7">
        <v>268.5</v>
      </c>
      <c r="G4" s="7">
        <v>5000</v>
      </c>
      <c r="H4" s="7">
        <f t="shared" ref="H4:H13" si="5">E4+F4</f>
        <v>7268.5</v>
      </c>
      <c r="I4" s="7">
        <f t="shared" si="3"/>
        <v>21631.5</v>
      </c>
      <c r="J4" s="19">
        <f>(D4-D3)/D3</f>
        <v>-0.42084168336673344</v>
      </c>
      <c r="K4" s="7">
        <f t="shared" si="0"/>
        <v>2890</v>
      </c>
      <c r="L4" s="26">
        <f t="shared" si="1"/>
        <v>0.74849480968858129</v>
      </c>
      <c r="M4" s="7">
        <f t="shared" si="2"/>
        <v>0.25150519031141866</v>
      </c>
      <c r="N4" s="1"/>
      <c r="O4" s="1"/>
      <c r="P4" s="1"/>
      <c r="Q4" s="1"/>
      <c r="R4" s="1"/>
      <c r="S4" s="1"/>
      <c r="T4" s="1"/>
      <c r="U4" s="1"/>
      <c r="V4" s="1"/>
      <c r="W4" s="1"/>
      <c r="X4" s="1"/>
      <c r="Y4" s="1"/>
      <c r="Z4" s="1"/>
      <c r="AA4" s="1"/>
      <c r="AB4" s="1"/>
      <c r="AC4" s="1"/>
    </row>
    <row r="5" spans="1:29" x14ac:dyDescent="0.25">
      <c r="A5" s="4" t="s">
        <v>13</v>
      </c>
      <c r="B5" s="1" t="s">
        <v>14</v>
      </c>
      <c r="C5" s="1">
        <v>17</v>
      </c>
      <c r="D5" s="7">
        <v>44900</v>
      </c>
      <c r="E5" s="7">
        <v>5300</v>
      </c>
      <c r="F5" s="7">
        <v>341</v>
      </c>
      <c r="G5" s="7">
        <v>2400</v>
      </c>
      <c r="H5" s="7">
        <f t="shared" si="5"/>
        <v>5641</v>
      </c>
      <c r="I5" s="7">
        <f t="shared" si="3"/>
        <v>39259</v>
      </c>
      <c r="J5" s="19">
        <f t="shared" si="4"/>
        <v>0.55363321799307963</v>
      </c>
      <c r="K5" s="7">
        <f t="shared" si="0"/>
        <v>2641.1764705882351</v>
      </c>
      <c r="L5" s="26">
        <f t="shared" si="1"/>
        <v>0.8743652561247216</v>
      </c>
      <c r="M5" s="7">
        <f t="shared" si="2"/>
        <v>0.1256347438752784</v>
      </c>
      <c r="N5" s="1"/>
      <c r="O5" s="1"/>
      <c r="P5" s="1"/>
      <c r="Q5" s="1"/>
      <c r="R5" s="1"/>
      <c r="S5" s="1"/>
      <c r="T5" s="1"/>
      <c r="U5" s="1"/>
      <c r="V5" s="1"/>
      <c r="W5" s="1"/>
      <c r="X5" s="1"/>
      <c r="Y5" s="1"/>
      <c r="Z5" s="1"/>
      <c r="AA5" s="1"/>
      <c r="AB5" s="1"/>
      <c r="AC5" s="1"/>
    </row>
    <row r="6" spans="1:29" x14ac:dyDescent="0.25">
      <c r="A6" s="4" t="s">
        <v>15</v>
      </c>
      <c r="B6" s="1" t="s">
        <v>16</v>
      </c>
      <c r="C6" s="1">
        <v>21</v>
      </c>
      <c r="D6" s="7">
        <v>54700</v>
      </c>
      <c r="E6" s="7">
        <v>5700</v>
      </c>
      <c r="F6" s="7">
        <v>241</v>
      </c>
      <c r="G6" s="7">
        <v>2800</v>
      </c>
      <c r="H6" s="7">
        <f t="shared" si="5"/>
        <v>5941</v>
      </c>
      <c r="I6" s="7">
        <f t="shared" si="3"/>
        <v>48759</v>
      </c>
      <c r="J6" s="19">
        <f t="shared" si="4"/>
        <v>0.21826280623608019</v>
      </c>
      <c r="K6" s="7">
        <f t="shared" si="0"/>
        <v>2604.7619047619046</v>
      </c>
      <c r="L6" s="26">
        <f t="shared" si="1"/>
        <v>0.8913893967093236</v>
      </c>
      <c r="M6" s="7">
        <f t="shared" si="2"/>
        <v>0.10861060329067641</v>
      </c>
      <c r="N6" s="1"/>
      <c r="O6" s="1"/>
      <c r="P6" s="1"/>
      <c r="Q6" s="1"/>
      <c r="R6" s="1"/>
      <c r="S6" s="1"/>
      <c r="T6" s="1"/>
      <c r="U6" s="1"/>
      <c r="V6" s="1"/>
      <c r="W6" s="1"/>
      <c r="X6" s="1"/>
      <c r="Y6" s="1"/>
      <c r="Z6" s="1"/>
      <c r="AA6" s="1"/>
      <c r="AB6" s="1"/>
      <c r="AC6" s="1"/>
    </row>
    <row r="7" spans="1:29" x14ac:dyDescent="0.25">
      <c r="A7" s="4" t="s">
        <v>17</v>
      </c>
      <c r="B7" s="1" t="s">
        <v>18</v>
      </c>
      <c r="C7" s="1">
        <v>18</v>
      </c>
      <c r="D7" s="7">
        <v>42900</v>
      </c>
      <c r="E7" s="7">
        <v>5300</v>
      </c>
      <c r="F7" s="7">
        <v>0</v>
      </c>
      <c r="G7" s="7">
        <v>6400</v>
      </c>
      <c r="H7" s="7">
        <f t="shared" si="5"/>
        <v>5300</v>
      </c>
      <c r="I7" s="7">
        <f t="shared" si="3"/>
        <v>37600</v>
      </c>
      <c r="J7" s="19">
        <f t="shared" si="4"/>
        <v>-0.21572212065813529</v>
      </c>
      <c r="K7" s="7">
        <f t="shared" si="0"/>
        <v>2383.3333333333335</v>
      </c>
      <c r="L7" s="26">
        <f t="shared" si="1"/>
        <v>0.87645687645687642</v>
      </c>
      <c r="M7" s="7">
        <f t="shared" si="2"/>
        <v>0.12354312354312354</v>
      </c>
      <c r="N7" s="1"/>
      <c r="O7" s="1"/>
      <c r="P7" s="1"/>
      <c r="Q7" s="1"/>
      <c r="R7" s="1"/>
      <c r="S7" s="1"/>
      <c r="T7" s="1"/>
      <c r="U7" s="1"/>
      <c r="V7" s="1"/>
      <c r="W7" s="1"/>
      <c r="X7" s="1"/>
      <c r="Y7" s="1"/>
      <c r="Z7" s="1"/>
      <c r="AA7" s="1"/>
      <c r="AB7" s="1"/>
      <c r="AC7" s="1"/>
    </row>
    <row r="8" spans="1:29" x14ac:dyDescent="0.25">
      <c r="A8" s="4" t="s">
        <v>19</v>
      </c>
      <c r="B8" s="1" t="s">
        <v>20</v>
      </c>
      <c r="C8" s="1">
        <v>13</v>
      </c>
      <c r="D8" s="7">
        <v>36700</v>
      </c>
      <c r="E8" s="7">
        <v>7000</v>
      </c>
      <c r="F8" s="7">
        <v>57</v>
      </c>
      <c r="G8" s="7">
        <v>200</v>
      </c>
      <c r="H8" s="7">
        <f t="shared" si="5"/>
        <v>7057</v>
      </c>
      <c r="I8" s="7">
        <f t="shared" si="3"/>
        <v>29643</v>
      </c>
      <c r="J8" s="19">
        <f t="shared" si="4"/>
        <v>-0.14452214452214451</v>
      </c>
      <c r="K8" s="7">
        <f t="shared" si="0"/>
        <v>2823.0769230769229</v>
      </c>
      <c r="L8" s="26">
        <f t="shared" si="1"/>
        <v>0.80771117166212536</v>
      </c>
      <c r="M8" s="7">
        <f t="shared" si="2"/>
        <v>0.19228882833787467</v>
      </c>
      <c r="N8" s="1"/>
      <c r="O8" s="1"/>
      <c r="P8" s="1"/>
      <c r="Q8" s="1"/>
      <c r="R8" s="1"/>
      <c r="S8" s="1"/>
      <c r="T8" s="1"/>
      <c r="U8" s="1"/>
      <c r="V8" s="1"/>
      <c r="W8" s="1"/>
      <c r="X8" s="1"/>
      <c r="Y8" s="1"/>
      <c r="Z8" s="1"/>
      <c r="AA8" s="1"/>
      <c r="AB8" s="1"/>
      <c r="AC8" s="1"/>
    </row>
    <row r="9" spans="1:29" x14ac:dyDescent="0.25">
      <c r="A9" s="4" t="s">
        <v>21</v>
      </c>
      <c r="B9" s="1" t="s">
        <v>22</v>
      </c>
      <c r="C9" s="1">
        <v>19</v>
      </c>
      <c r="D9" s="7">
        <v>40400</v>
      </c>
      <c r="E9" s="7">
        <v>5000</v>
      </c>
      <c r="F9" s="7">
        <v>86.5</v>
      </c>
      <c r="G9" s="7">
        <v>12400</v>
      </c>
      <c r="H9" s="7">
        <f t="shared" si="5"/>
        <v>5086.5</v>
      </c>
      <c r="I9" s="7">
        <f t="shared" si="3"/>
        <v>35313.5</v>
      </c>
      <c r="J9" s="19">
        <f t="shared" si="4"/>
        <v>0.1008174386920981</v>
      </c>
      <c r="K9" s="7">
        <f t="shared" si="0"/>
        <v>2126.3157894736842</v>
      </c>
      <c r="L9" s="26">
        <f t="shared" si="1"/>
        <v>0.87409653465346537</v>
      </c>
      <c r="M9" s="7">
        <f t="shared" si="2"/>
        <v>0.12590346534653465</v>
      </c>
      <c r="N9" s="1"/>
      <c r="O9" s="1"/>
      <c r="P9" s="1"/>
      <c r="Q9" s="1"/>
      <c r="R9" s="1"/>
      <c r="S9" s="1"/>
      <c r="T9" s="1"/>
      <c r="U9" s="1"/>
      <c r="V9" s="1"/>
      <c r="W9" s="1"/>
      <c r="X9" s="1"/>
      <c r="Y9" s="1"/>
      <c r="Z9" s="1"/>
      <c r="AA9" s="1"/>
      <c r="AB9" s="1"/>
      <c r="AC9" s="1"/>
    </row>
    <row r="10" spans="1:29" x14ac:dyDescent="0.25">
      <c r="A10" s="4" t="s">
        <v>23</v>
      </c>
      <c r="B10" s="1" t="s">
        <v>24</v>
      </c>
      <c r="C10" s="1">
        <v>25</v>
      </c>
      <c r="D10" s="7">
        <v>56800</v>
      </c>
      <c r="E10" s="7">
        <v>4100</v>
      </c>
      <c r="F10" s="7">
        <v>144</v>
      </c>
      <c r="G10" s="7">
        <v>20900</v>
      </c>
      <c r="H10" s="7">
        <f t="shared" si="5"/>
        <v>4244</v>
      </c>
      <c r="I10" s="7">
        <f t="shared" si="3"/>
        <v>52556</v>
      </c>
      <c r="J10" s="19">
        <f t="shared" si="4"/>
        <v>0.40594059405940597</v>
      </c>
      <c r="K10" s="7">
        <f t="shared" si="0"/>
        <v>2272</v>
      </c>
      <c r="L10" s="26">
        <f t="shared" si="1"/>
        <v>0.92528169014084505</v>
      </c>
      <c r="M10" s="7">
        <f t="shared" si="2"/>
        <v>7.4718309859154924E-2</v>
      </c>
      <c r="N10" s="1"/>
      <c r="O10" s="1"/>
      <c r="P10" s="1"/>
      <c r="Q10" s="1"/>
      <c r="R10" s="1"/>
      <c r="S10" s="1"/>
      <c r="T10" s="1"/>
      <c r="U10" s="1"/>
      <c r="V10" s="1"/>
      <c r="W10" s="1"/>
      <c r="X10" s="1"/>
      <c r="Y10" s="1"/>
      <c r="Z10" s="1"/>
      <c r="AA10" s="1"/>
      <c r="AB10" s="1"/>
      <c r="AC10" s="1"/>
    </row>
    <row r="11" spans="1:29" x14ac:dyDescent="0.25">
      <c r="A11" s="4" t="s">
        <v>25</v>
      </c>
      <c r="B11" s="1" t="s">
        <v>26</v>
      </c>
      <c r="C11" s="1">
        <v>27</v>
      </c>
      <c r="D11" s="7">
        <v>83600</v>
      </c>
      <c r="E11" s="7">
        <v>9000</v>
      </c>
      <c r="F11" s="7">
        <v>115</v>
      </c>
      <c r="G11" s="7">
        <v>19600</v>
      </c>
      <c r="H11" s="7">
        <f t="shared" si="5"/>
        <v>9115</v>
      </c>
      <c r="I11" s="7">
        <f t="shared" si="3"/>
        <v>74485</v>
      </c>
      <c r="J11" s="19">
        <f t="shared" si="4"/>
        <v>0.47183098591549294</v>
      </c>
      <c r="K11" s="7">
        <f t="shared" si="0"/>
        <v>3096.2962962962961</v>
      </c>
      <c r="L11" s="26">
        <f t="shared" si="1"/>
        <v>0.89096889952153113</v>
      </c>
      <c r="M11" s="7">
        <f t="shared" si="2"/>
        <v>0.1090311004784689</v>
      </c>
      <c r="N11" s="1"/>
      <c r="O11" s="1"/>
      <c r="P11" s="1"/>
      <c r="Q11" s="1"/>
      <c r="R11" s="1"/>
      <c r="S11" s="1"/>
      <c r="T11" s="1"/>
      <c r="U11" s="1"/>
      <c r="V11" s="1"/>
      <c r="W11" s="1"/>
      <c r="X11" s="1"/>
      <c r="Y11" s="1"/>
      <c r="Z11" s="1"/>
      <c r="AA11" s="1"/>
      <c r="AB11" s="1"/>
      <c r="AC11" s="1"/>
    </row>
    <row r="12" spans="1:29" x14ac:dyDescent="0.25">
      <c r="A12" s="4" t="s">
        <v>27</v>
      </c>
      <c r="B12" s="1" t="s">
        <v>28</v>
      </c>
      <c r="C12" s="1">
        <v>19</v>
      </c>
      <c r="D12" s="7">
        <v>62200</v>
      </c>
      <c r="E12" s="7">
        <v>7000</v>
      </c>
      <c r="F12" s="7">
        <v>359.5</v>
      </c>
      <c r="G12" s="7">
        <v>12600</v>
      </c>
      <c r="H12" s="7">
        <f t="shared" si="5"/>
        <v>7359.5</v>
      </c>
      <c r="I12" s="7">
        <f t="shared" si="3"/>
        <v>54840.5</v>
      </c>
      <c r="J12" s="19">
        <f t="shared" si="4"/>
        <v>-0.25598086124401914</v>
      </c>
      <c r="K12" s="7">
        <f t="shared" si="0"/>
        <v>3273.6842105263158</v>
      </c>
      <c r="L12" s="26">
        <f t="shared" si="1"/>
        <v>0.88168006430868162</v>
      </c>
      <c r="M12" s="7">
        <f t="shared" si="2"/>
        <v>0.11831993569131832</v>
      </c>
      <c r="N12" s="1"/>
      <c r="O12" s="1"/>
      <c r="P12" s="1"/>
      <c r="Q12" s="1"/>
      <c r="R12" s="1"/>
      <c r="S12" s="1"/>
      <c r="T12" s="1"/>
      <c r="U12" s="1"/>
      <c r="V12" s="1"/>
      <c r="W12" s="1"/>
      <c r="X12" s="1"/>
      <c r="Y12" s="1"/>
      <c r="Z12" s="1"/>
      <c r="AA12" s="1"/>
      <c r="AB12" s="1"/>
      <c r="AC12" s="1"/>
    </row>
    <row r="13" spans="1:29" x14ac:dyDescent="0.25">
      <c r="A13" s="4" t="s">
        <v>29</v>
      </c>
      <c r="B13" s="1" t="s">
        <v>30</v>
      </c>
      <c r="C13" s="1">
        <v>7</v>
      </c>
      <c r="D13" s="7">
        <v>26200</v>
      </c>
      <c r="E13" s="7">
        <v>3300</v>
      </c>
      <c r="F13" s="7">
        <v>134</v>
      </c>
      <c r="G13" s="7">
        <v>7100</v>
      </c>
      <c r="H13" s="7">
        <f t="shared" si="5"/>
        <v>3434</v>
      </c>
      <c r="I13" s="7">
        <f t="shared" si="3"/>
        <v>22766</v>
      </c>
      <c r="J13" s="19">
        <f t="shared" si="4"/>
        <v>-0.5787781350482315</v>
      </c>
      <c r="K13" s="7">
        <f t="shared" si="0"/>
        <v>3742.8571428571427</v>
      </c>
      <c r="L13" s="26">
        <f t="shared" si="1"/>
        <v>0.86893129770992361</v>
      </c>
      <c r="M13" s="7">
        <f t="shared" si="2"/>
        <v>0.13106870229007633</v>
      </c>
      <c r="N13" s="1"/>
      <c r="O13" s="1"/>
      <c r="P13" s="1"/>
      <c r="Q13" s="1"/>
      <c r="R13" s="1"/>
      <c r="S13" s="1"/>
      <c r="T13" s="1"/>
      <c r="U13" s="1"/>
      <c r="V13" s="1"/>
      <c r="W13" s="1"/>
      <c r="X13" s="1"/>
      <c r="Y13" s="1"/>
      <c r="Z13" s="1"/>
      <c r="AA13" s="1"/>
      <c r="AB13" s="1"/>
      <c r="AC13" s="1"/>
    </row>
    <row r="14" spans="1:29" x14ac:dyDescent="0.25">
      <c r="D14" s="16">
        <f t="shared" ref="D14:I14" si="6">SUM(D2:D13)</f>
        <v>570700</v>
      </c>
      <c r="E14" s="15">
        <f t="shared" si="6"/>
        <v>69200</v>
      </c>
      <c r="F14" s="15">
        <f t="shared" si="6"/>
        <v>2410</v>
      </c>
      <c r="G14" s="17">
        <f t="shared" si="6"/>
        <v>100400</v>
      </c>
      <c r="H14" s="15">
        <f t="shared" si="6"/>
        <v>71610</v>
      </c>
      <c r="I14" s="14">
        <f t="shared" si="6"/>
        <v>499090</v>
      </c>
      <c r="J14" s="19"/>
      <c r="K14" s="7"/>
      <c r="L14" s="26"/>
      <c r="M14" s="7"/>
      <c r="N14" s="1"/>
      <c r="O14" s="1"/>
      <c r="P14" s="1"/>
      <c r="Q14" s="1"/>
      <c r="R14" s="1"/>
      <c r="S14" s="1"/>
      <c r="T14" s="1"/>
      <c r="U14" s="1"/>
      <c r="V14" s="1"/>
      <c r="W14" s="1"/>
      <c r="X14" s="1"/>
      <c r="Y14" s="1"/>
      <c r="Z14" s="1"/>
      <c r="AA14" s="1"/>
      <c r="AB14" s="1"/>
      <c r="AC14" s="1"/>
    </row>
    <row r="15" spans="1:29" x14ac:dyDescent="0.25">
      <c r="M15" s="1"/>
      <c r="N15" s="1"/>
      <c r="O15" s="1"/>
      <c r="P15" s="1"/>
      <c r="Q15" s="1"/>
      <c r="R15" s="1"/>
      <c r="S15" s="1"/>
      <c r="T15" s="1"/>
      <c r="U15" s="1"/>
      <c r="V15" s="1"/>
      <c r="W15" s="1"/>
      <c r="X15" s="1"/>
      <c r="Y15" s="1"/>
      <c r="Z15" s="1"/>
      <c r="AA15" s="1"/>
      <c r="AB15" s="1"/>
      <c r="AC15" s="1"/>
    </row>
    <row r="16" spans="1:29" x14ac:dyDescent="0.25">
      <c r="M16" s="1"/>
      <c r="N16" s="1"/>
      <c r="O16" s="1"/>
      <c r="P16" s="1"/>
      <c r="Q16" s="1"/>
      <c r="R16" s="1"/>
      <c r="S16" s="1"/>
      <c r="T16" s="1"/>
      <c r="U16" s="1"/>
      <c r="V16" s="1"/>
      <c r="W16" s="1"/>
      <c r="X16" s="1"/>
      <c r="Y16" s="1"/>
      <c r="Z16" s="1"/>
      <c r="AA16" s="1"/>
      <c r="AB16" s="1"/>
      <c r="AC16" s="1"/>
    </row>
  </sheetData>
  <pageMargins left="0.7" right="0.7" top="0.75" bottom="0.75" header="0.3" footer="0.3"/>
  <pageSetup paperSize="9" orientation="portrait" horizontalDpi="360" verticalDpi="36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B2" sqref="B2"/>
    </sheetView>
  </sheetViews>
  <sheetFormatPr defaultRowHeight="15" x14ac:dyDescent="0.25"/>
  <cols>
    <col min="1" max="1" width="20" style="8" customWidth="1"/>
    <col min="2" max="2" width="19.5703125" customWidth="1"/>
    <col min="3" max="3" width="19" style="8" customWidth="1"/>
    <col min="4" max="4" width="18.7109375" style="10" customWidth="1"/>
  </cols>
  <sheetData>
    <row r="1" spans="1:4" s="2" customFormat="1" x14ac:dyDescent="0.25">
      <c r="A1" s="6" t="s">
        <v>33</v>
      </c>
      <c r="B1" s="2" t="s">
        <v>34</v>
      </c>
      <c r="C1" s="6" t="s">
        <v>32</v>
      </c>
      <c r="D1" s="9" t="s">
        <v>35</v>
      </c>
    </row>
    <row r="2" spans="1:4" x14ac:dyDescent="0.25">
      <c r="A2" s="11">
        <f>SUM(Raw_Data!D2:D13)</f>
        <v>570700</v>
      </c>
      <c r="B2" s="1">
        <f>SUM(Raw_Data!C2:C13)</f>
        <v>213</v>
      </c>
      <c r="C2" s="12">
        <f>SUM(Raw_Data!H2:H13)</f>
        <v>71610</v>
      </c>
      <c r="D2" s="13">
        <f>SUM(Raw_Data!I2:I13)</f>
        <v>499090</v>
      </c>
    </row>
    <row r="8" spans="1:4" x14ac:dyDescent="0.25">
      <c r="A8" s="7" t="s">
        <v>36</v>
      </c>
      <c r="B8" s="1" t="s">
        <v>37</v>
      </c>
      <c r="C8" s="10"/>
      <c r="D8"/>
    </row>
    <row r="9" spans="1:4" x14ac:dyDescent="0.25">
      <c r="A9" s="7" t="s">
        <v>38</v>
      </c>
      <c r="B9" s="7">
        <f>SUM(Raw_Data!E2:E13)</f>
        <v>69200</v>
      </c>
      <c r="C9" s="10"/>
      <c r="D9"/>
    </row>
    <row r="10" spans="1:4" x14ac:dyDescent="0.25">
      <c r="A10" s="7"/>
      <c r="B10" s="1"/>
      <c r="C10" s="10"/>
      <c r="D10"/>
    </row>
    <row r="11" spans="1:4" x14ac:dyDescent="0.25">
      <c r="A11" s="7" t="s">
        <v>39</v>
      </c>
      <c r="B11" s="7">
        <f>SUM(Raw_Data!F2:F13)</f>
        <v>2410</v>
      </c>
      <c r="C11" s="10"/>
      <c r="D11"/>
    </row>
    <row r="12" spans="1:4" x14ac:dyDescent="0.25">
      <c r="A12" s="7"/>
      <c r="B12" s="6"/>
      <c r="C12" s="10"/>
      <c r="D12"/>
    </row>
  </sheetData>
  <pageMargins left="0.7" right="0.7" top="0.75" bottom="0.75" header="0.3" footer="0.3"/>
  <pageSetup paperSize="9" orientation="portrait" horizontalDpi="360" verticalDpi="36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Z1:AA5"/>
  <sheetViews>
    <sheetView tabSelected="1" topLeftCell="P5" zoomScale="115" zoomScaleNormal="115" workbookViewId="0">
      <selection activeCell="Z56" sqref="Z56"/>
    </sheetView>
  </sheetViews>
  <sheetFormatPr defaultRowHeight="15" x14ac:dyDescent="0.25"/>
  <cols>
    <col min="26" max="26" width="27" style="1" customWidth="1"/>
    <col min="27" max="27" width="38.5703125" style="1" customWidth="1"/>
  </cols>
  <sheetData>
    <row r="1" spans="26:27" ht="26.25" x14ac:dyDescent="0.25">
      <c r="Z1" s="18" t="s">
        <v>40</v>
      </c>
      <c r="AA1" s="18" t="s">
        <v>41</v>
      </c>
    </row>
    <row r="2" spans="26:27" ht="26.25" x14ac:dyDescent="0.25">
      <c r="Z2" s="18" t="s">
        <v>42</v>
      </c>
      <c r="AA2" s="22">
        <f>Dashboard_Data!A2</f>
        <v>570700</v>
      </c>
    </row>
    <row r="3" spans="26:27" ht="26.25" x14ac:dyDescent="0.25">
      <c r="Z3" s="18" t="s">
        <v>43</v>
      </c>
      <c r="AA3" s="24">
        <f>Dashboard_Data!B2</f>
        <v>213</v>
      </c>
    </row>
    <row r="4" spans="26:27" ht="26.25" x14ac:dyDescent="0.25">
      <c r="Z4" s="18" t="s">
        <v>44</v>
      </c>
      <c r="AA4" s="23">
        <f>Dashboard_Data!D2</f>
        <v>499090</v>
      </c>
    </row>
    <row r="5" spans="26:27" ht="26.25" x14ac:dyDescent="0.25">
      <c r="Z5" s="18" t="s">
        <v>49</v>
      </c>
      <c r="AA5" s="24">
        <f>AA4/AA2</f>
        <v>0.87452251620816546</v>
      </c>
    </row>
  </sheetData>
  <pageMargins left="0.7" right="0.7" top="0.75" bottom="0.75" header="0.3" footer="0.3"/>
  <pageSetup paperSize="9" orientation="portrait" horizontalDpi="360" verticalDpi="360" r:id="rId1"/>
  <drawing r:id="rId2"/>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Dashboard_Data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2026-04-06T07:22:25Z</dcterms:created>
  <dcterms:modified xsi:type="dcterms:W3CDTF">2026-04-06T22:00:57Z</dcterms:modified>
</cp:coreProperties>
</file>